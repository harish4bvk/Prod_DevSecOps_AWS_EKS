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is\Desktop\Workspace\Devsecops-eks-3tire\doc\"/>
    </mc:Choice>
  </mc:AlternateContent>
  <xr:revisionPtr revIDLastSave="0" documentId="13_ncr:1_{5C116E51-1CEA-42D2-8B65-C431099D695D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Tracker" sheetId="1" r:id="rId1"/>
    <sheet name="Metrics" sheetId="2" r:id="rId2"/>
  </sheets>
  <calcPr calcId="181029"/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<sst xmlns="http://schemas.openxmlformats.org/spreadsheetml/2006/main" count="61" uniqueCount="41">
  <si>
    <t>Task</t>
  </si>
  <si>
    <t>Category</t>
  </si>
  <si>
    <t>Status</t>
  </si>
  <si>
    <t>Start Date</t>
  </si>
  <si>
    <t>End Date</t>
  </si>
  <si>
    <t>Notes</t>
  </si>
  <si>
    <t>CI/CD</t>
  </si>
  <si>
    <t>Total Tasks</t>
  </si>
  <si>
    <t>Completed</t>
  </si>
  <si>
    <t>In Progress</t>
  </si>
  <si>
    <t>Not Started</t>
  </si>
  <si>
    <t>Progress %</t>
  </si>
  <si>
    <t>Create VPC module</t>
  </si>
  <si>
    <t>Create subnets (public/private)</t>
  </si>
  <si>
    <t>Add IGW and NAT Gateway</t>
  </si>
  <si>
    <t>Create EKS cluster</t>
  </si>
  <si>
    <t>Add node group</t>
  </si>
  <si>
    <t>Create RDS instance (private)</t>
  </si>
  <si>
    <t>Create IAM roles for EKS</t>
  </si>
  <si>
    <t>Setup GitHub OIDC</t>
  </si>
  <si>
    <t>Connect modules in dev env</t>
  </si>
  <si>
    <t>Terraform init &amp; apply</t>
  </si>
  <si>
    <t>Configure kubectl access</t>
  </si>
  <si>
    <t>Deploy frontend via Helm</t>
  </si>
  <si>
    <t>Deploy backend via Helm</t>
  </si>
  <si>
    <t>Build Docker images</t>
  </si>
  <si>
    <t>Push images to ECR</t>
  </si>
  <si>
    <t>Deploy via GitHub Actions</t>
  </si>
  <si>
    <t>Add Trivy scan</t>
  </si>
  <si>
    <t>Install Prometheus &amp; Grafana</t>
  </si>
  <si>
    <t>Terraform - VPC</t>
  </si>
  <si>
    <t>Terraform - EKS</t>
  </si>
  <si>
    <t>Terraform - RDS</t>
  </si>
  <si>
    <t>Terraform - IAM</t>
  </si>
  <si>
    <t>Environment Setup</t>
  </si>
  <si>
    <t>Kubernetes</t>
  </si>
  <si>
    <t>Security</t>
  </si>
  <si>
    <t>Monitoring</t>
  </si>
  <si>
    <t>Documentation</t>
  </si>
  <si>
    <t>architecture</t>
  </si>
  <si>
    <t>Write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</si>
</sst>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14" sqref="E14"/>
    </sheetView>
  </sheetViews>
  <sheetFormatPr defaultRowHeight="14.4" x14ac:dyDescent="0.3"/>
  <cols>
    <col min="1" max="1" width="23.109375" customWidth="1"/>
    <col min="2" max="2" width="29.33203125" bestFit="1" customWidth="1"/>
    <col min="3" max="3" width="16.109375" customWidth="1"/>
    <col min="4" max="4" width="11.5546875" customWidth="1"/>
    <col min="5" max="5" width="11.1093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30</v>
      </c>
      <c r="B2" t="s">
        <v>12</v>
      </c>
      <c r="C2" t="s">
        <v>8</v>
      </c>
      <c r="D2" s="1">
        <v>46125</v>
      </c>
      <c r="E2" s="1">
        <v>46125</v>
      </c>
    </row>
    <row r="3" spans="1:6" x14ac:dyDescent="0.3">
      <c r="A3" t="s">
        <v>30</v>
      </c>
      <c r="B3" t="s">
        <v>13</v>
      </c>
      <c r="C3" t="s">
        <v>8</v>
      </c>
      <c r="D3" s="1">
        <v>46125</v>
      </c>
      <c r="E3" s="1">
        <v>46125</v>
      </c>
    </row>
    <row r="4" spans="1:6" x14ac:dyDescent="0.3">
      <c r="A4" t="s">
        <v>30</v>
      </c>
      <c r="B4" t="s">
        <v>14</v>
      </c>
      <c r="C4" t="s">
        <v>8</v>
      </c>
      <c r="D4" s="1">
        <v>46125</v>
      </c>
      <c r="E4" s="1">
        <v>46125</v>
      </c>
    </row>
    <row r="5" spans="1:6" x14ac:dyDescent="0.3">
      <c r="A5" t="s">
        <v>31</v>
      </c>
      <c r="B5" t="s">
        <v>15</v>
      </c>
      <c r="C5" t="s">
        <v>8</v>
      </c>
      <c r="D5" s="1">
        <v>46125</v>
      </c>
      <c r="E5" s="1">
        <v>46125</v>
      </c>
    </row>
    <row r="6" spans="1:6" x14ac:dyDescent="0.3">
      <c r="A6" t="s">
        <v>31</v>
      </c>
      <c r="B6" t="s">
        <v>16</v>
      </c>
      <c r="C6" t="s">
        <v>8</v>
      </c>
      <c r="D6" s="1">
        <v>46125</v>
      </c>
      <c r="E6" s="1">
        <v>46125</v>
      </c>
    </row>
    <row r="7" spans="1:6" x14ac:dyDescent="0.3">
      <c r="A7" t="s">
        <v>32</v>
      </c>
      <c r="B7" t="s">
        <v>17</v>
      </c>
      <c r="C7" t="s">
        <v>8</v>
      </c>
      <c r="D7" s="1">
        <v>46125</v>
      </c>
      <c r="E7" s="1">
        <v>46125</v>
      </c>
    </row>
    <row r="8" spans="1:6" x14ac:dyDescent="0.3">
      <c r="A8" t="s">
        <v>33</v>
      </c>
      <c r="B8" t="s">
        <v>18</v>
      </c>
      <c r="C8" t="s">
        <v>8</v>
      </c>
      <c r="D8" s="1">
        <v>46125</v>
      </c>
      <c r="E8" s="1">
        <v>46125</v>
      </c>
    </row>
    <row r="9" spans="1:6" x14ac:dyDescent="0.3">
      <c r="A9" t="s">
        <v>33</v>
      </c>
      <c r="B9" t="s">
        <v>19</v>
      </c>
      <c r="C9" t="s">
        <v>8</v>
      </c>
      <c r="D9" s="1">
        <v>46125</v>
      </c>
      <c r="E9" s="1">
        <v>46125</v>
      </c>
    </row>
    <row r="10" spans="1:6" x14ac:dyDescent="0.3">
      <c r="A10" t="s">
        <v>34</v>
      </c>
      <c r="B10" t="s">
        <v>20</v>
      </c>
      <c r="C10" t="s">
        <v>9</v>
      </c>
      <c r="D10" s="1">
        <v>46126</v>
      </c>
    </row>
    <row r="11" spans="1:6" x14ac:dyDescent="0.3">
      <c r="A11" t="s">
        <v>34</v>
      </c>
      <c r="B11" t="s">
        <v>21</v>
      </c>
    </row>
    <row r="12" spans="1:6" x14ac:dyDescent="0.3">
      <c r="A12" t="s">
        <v>35</v>
      </c>
      <c r="B12" t="s">
        <v>22</v>
      </c>
    </row>
    <row r="13" spans="1:6" x14ac:dyDescent="0.3">
      <c r="A13" t="s">
        <v>35</v>
      </c>
      <c r="B13" t="s">
        <v>23</v>
      </c>
    </row>
    <row r="14" spans="1:6" x14ac:dyDescent="0.3">
      <c r="A14" t="s">
        <v>35</v>
      </c>
      <c r="B14" t="s">
        <v>24</v>
      </c>
    </row>
    <row r="15" spans="1:6" x14ac:dyDescent="0.3">
      <c r="A15" t="s">
        <v>6</v>
      </c>
      <c r="B15" t="s">
        <v>25</v>
      </c>
    </row>
    <row r="16" spans="1:6" x14ac:dyDescent="0.3">
      <c r="A16" t="s">
        <v>6</v>
      </c>
      <c r="B16" t="s">
        <v>26</v>
      </c>
    </row>
    <row r="17" spans="1:4" x14ac:dyDescent="0.3">
      <c r="A17" t="s">
        <v>6</v>
      </c>
      <c r="B17" t="s">
        <v>27</v>
      </c>
    </row>
    <row r="18" spans="1:4" x14ac:dyDescent="0.3">
      <c r="A18" t="s">
        <v>36</v>
      </c>
      <c r="B18" t="s">
        <v>28</v>
      </c>
    </row>
    <row r="19" spans="1:4" x14ac:dyDescent="0.3">
      <c r="A19" t="s">
        <v>37</v>
      </c>
      <c r="B19" t="s">
        <v>29</v>
      </c>
    </row>
    <row r="20" spans="1:4" x14ac:dyDescent="0.3">
      <c r="A20" t="s">
        <v>38</v>
      </c>
      <c r="B20" t="s">
        <v>40</v>
      </c>
      <c r="C20" t="s">
        <v>9</v>
      </c>
      <c r="D20" s="1">
        <v>46125</v>
      </c>
    </row>
    <row r="21" spans="1:4" x14ac:dyDescent="0.3">
      <c r="A21" t="s">
        <v>38</v>
      </c>
      <c r="B21" t="s">
        <v>39</v>
      </c>
    </row>
  </sheetData>
  <conditionalFormatting sqref="C2:C100">
    <cfRule type="expression" dxfId="2" priority="1">
      <formula>$C2="Completed"</formula>
    </cfRule>
    <cfRule type="expression" dxfId="1" priority="2">
      <formula>$C2="In Progress"</formula>
    </cfRule>
    <cfRule type="expression" dxfId="0" priority="3">
      <formula>$C2="Not Started"</formula>
    </cfRule>
  </conditionalFormatting>
  <dataValidations count="1">
    <dataValidation type="list" allowBlank="1" sqref="C2:C100" xr:uid="{00000000-0002-0000-0000-000000000000}">
      <formula1>"Completed,In Progress,Not Started"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7</v>
      </c>
      <c r="B1">
        <f>COUNTA(Tracker!A5:A100)</f>
        <v>17</v>
      </c>
    </row>
    <row r="2" spans="1:2" x14ac:dyDescent="0.3">
      <c r="A2" t="s">
        <v>8</v>
      </c>
      <c r="B2">
        <f>COUNTIF(Tracker!C2:C100,"Completed")</f>
        <v>8</v>
      </c>
    </row>
    <row r="3" spans="1:2" x14ac:dyDescent="0.3">
      <c r="A3" t="s">
        <v>9</v>
      </c>
      <c r="B3">
        <f>COUNTIF(Tracker!C2:C100,"In Progress")</f>
        <v>2</v>
      </c>
    </row>
    <row r="4" spans="1:2" x14ac:dyDescent="0.3">
      <c r="A4" t="s">
        <v>10</v>
      </c>
      <c r="B4">
        <f>COUNTIF(Tracker!C2:C100,"Not Started")</f>
        <v>0</v>
      </c>
    </row>
    <row r="5" spans="1:2" x14ac:dyDescent="0.3">
      <c r="A5" t="s">
        <v>11</v>
      </c>
      <c r="B5">
        <f>COUNTIF(Tracker!C2:C100,"Completed")/COUNTIF(Tracker!C2:C100,"&lt;&gt;")</f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bodapati</cp:lastModifiedBy>
  <dcterms:created xsi:type="dcterms:W3CDTF">2026-04-14T16:28:14Z</dcterms:created>
  <dcterms:modified xsi:type="dcterms:W3CDTF">2026-04-14T16:35:45Z</dcterms:modified>
</cp:coreProperties>
</file>